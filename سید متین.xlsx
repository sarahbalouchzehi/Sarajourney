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a39904b1582f88/Desktop/شرکت/تصاویر و لایسنس و فاکتورها/فاکتور/شکر/"/>
    </mc:Choice>
  </mc:AlternateContent>
  <xr:revisionPtr revIDLastSave="9" documentId="8_{CC9709C2-F5F3-4E0A-8419-9E1BE6D892C0}" xr6:coauthVersionLast="47" xr6:coauthVersionMax="47" xr10:uidLastSave="{518D45B8-42FC-4976-B79B-7944A06D90EA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Sheet1!$A$1:$AE$24</definedName>
  </definedNames>
  <calcPr calcId="181029"/>
</workbook>
</file>

<file path=xl/calcChain.xml><?xml version="1.0" encoding="utf-8"?>
<calcChain xmlns="http://schemas.openxmlformats.org/spreadsheetml/2006/main">
  <c r="Z24" i="1" l="1"/>
  <c r="Z21" i="1"/>
  <c r="R18" i="1"/>
  <c r="X18" i="1"/>
  <c r="J18" i="1"/>
  <c r="J17" i="1"/>
  <c r="R17" i="1"/>
  <c r="X17" i="1" s="1"/>
  <c r="G19" i="1"/>
  <c r="J19" i="1" s="1"/>
  <c r="J16" i="1"/>
  <c r="R16" i="1"/>
  <c r="J20" i="1" l="1"/>
  <c r="R19" i="1"/>
  <c r="X16" i="1"/>
  <c r="R20" i="1" l="1"/>
  <c r="X19" i="1"/>
  <c r="X20" i="1" s="1"/>
  <c r="U20" i="1"/>
</calcChain>
</file>

<file path=xl/sharedStrings.xml><?xml version="1.0" encoding="utf-8"?>
<sst xmlns="http://schemas.openxmlformats.org/spreadsheetml/2006/main" count="48" uniqueCount="46">
  <si>
    <t>مشخصات فروشنده</t>
  </si>
  <si>
    <t>مشخصات خريدار</t>
  </si>
  <si>
    <t>رديف</t>
  </si>
  <si>
    <t>مبلغ واحد (ريال )</t>
  </si>
  <si>
    <t>مبلغ كل (ريال)</t>
  </si>
  <si>
    <t>مبلغ تخفيف</t>
  </si>
  <si>
    <t>مبلغ كل پس از تخفيف (ريال)</t>
  </si>
  <si>
    <t>جمع ماليات وعوارض (ريال)</t>
  </si>
  <si>
    <t>جمع مبلغ كل بعلاوه جمع ماليات و عوارض (ريال)</t>
  </si>
  <si>
    <t>مهر و امضاء خريدار</t>
  </si>
  <si>
    <r>
      <t xml:space="preserve">مهر و امضاء فروشنده                                                                                  </t>
    </r>
    <r>
      <rPr>
        <b/>
        <sz val="12"/>
        <rFont val="B Zar"/>
        <charset val="178"/>
      </rPr>
      <t xml:space="preserve"> </t>
    </r>
  </si>
  <si>
    <t>تعداد</t>
  </si>
  <si>
    <t>جمع کل</t>
  </si>
  <si>
    <t>تاریخ :</t>
  </si>
  <si>
    <t>شماره سریال :</t>
  </si>
  <si>
    <t xml:space="preserve">شماره اقتصادی : </t>
  </si>
  <si>
    <t xml:space="preserve">  نشاني :  استان :                          </t>
  </si>
  <si>
    <t xml:space="preserve">  شهرستان :  </t>
  </si>
  <si>
    <t xml:space="preserve">کد پستی : </t>
  </si>
  <si>
    <t xml:space="preserve"> شهر : </t>
  </si>
  <si>
    <t xml:space="preserve"> شماره تلفن / نمابر:                         </t>
  </si>
  <si>
    <t xml:space="preserve"> شماره تلفن / نمابر:                       </t>
  </si>
  <si>
    <t xml:space="preserve">  نشاني : </t>
  </si>
  <si>
    <t xml:space="preserve">  نام شخص حقيقي / حقوقي : اویس تجارت مکران</t>
  </si>
  <si>
    <t>شماره اقتصادی : 14013501734</t>
  </si>
  <si>
    <t>شماره ثبت/شماره ملی :     14013501724  /  4409</t>
  </si>
  <si>
    <t xml:space="preserve"> شهر : چابهار</t>
  </si>
  <si>
    <t>کد پستی : 9971765205</t>
  </si>
  <si>
    <t xml:space="preserve">  نشاني : منطقه آزاد، مجتمع تجاری نور، طبقه دوم واحد 9</t>
  </si>
  <si>
    <t>به نام بلال براهویی نوید (رییس و عضو هیئت مدیره شرکت) نزد بانک ملت IR850120010000004524821136</t>
  </si>
  <si>
    <t>به نام اویس تجارت مکران نزد بانک تجارت IR380180000000177006940044</t>
  </si>
  <si>
    <t>به نام اویس تجارت مکران نزد بانک پارسیان IR620540209747001614875606</t>
  </si>
  <si>
    <t>1405/04/13</t>
  </si>
  <si>
    <t xml:space="preserve">شماره ثبت/شماره ملی : </t>
  </si>
  <si>
    <t>فاکتور خدمات</t>
  </si>
  <si>
    <t xml:space="preserve">مشخصات </t>
  </si>
  <si>
    <t>شرح</t>
  </si>
  <si>
    <t>صورتحساب اداره بندر</t>
  </si>
  <si>
    <t>تن کیلومتر (به ازای هر ماشین)</t>
  </si>
  <si>
    <t>هزینه ترخیص (به ازای هر ماشین)</t>
  </si>
  <si>
    <t>مبلغ واحد (دلار)</t>
  </si>
  <si>
    <t xml:space="preserve">شرايط و نحوه فروش                 نقدي                     غير نقدي                      </t>
  </si>
  <si>
    <t xml:space="preserve">  نام شخص حقيقي / حقوقي : سید متین</t>
  </si>
  <si>
    <t>هزینه حمل از کشتی به کشنده</t>
  </si>
  <si>
    <t xml:space="preserve"> بدهی قابل پرداخت</t>
  </si>
  <si>
    <t>بستانکار از حساب قبلی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</si>
</sst>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#,##0_-"/>
    <numFmt numFmtId="165" formatCode="_ * #,##0_-_ ;_ * #,##0\-_ ;_ * &quot;-&quot;??_-_ ;_ @_ "/>
  </numFmts>
  <fonts count="17">
    <font>
      <sz val="10"/>
      <name val="Arial"/>
      <charset val="178"/>
    </font>
    <font>
      <sz val="10"/>
      <name val="Nazanin"/>
      <charset val="178"/>
    </font>
    <font>
      <b/>
      <u/>
      <sz val="16"/>
      <name val="Nazanin"/>
      <charset val="178"/>
    </font>
    <font>
      <sz val="10"/>
      <name val="Arial"/>
      <family val="2"/>
    </font>
    <font>
      <sz val="10"/>
      <name val="B Zar"/>
      <charset val="178"/>
    </font>
    <font>
      <sz val="12"/>
      <name val="B Zar"/>
      <charset val="178"/>
    </font>
    <font>
      <b/>
      <sz val="16"/>
      <name val="B Titr"/>
      <charset val="178"/>
    </font>
    <font>
      <b/>
      <sz val="12"/>
      <name val="B Zar"/>
      <charset val="178"/>
    </font>
    <font>
      <sz val="10"/>
      <name val="B Titr"/>
      <charset val="178"/>
    </font>
    <font>
      <sz val="10"/>
      <name val="ذ ظشق"/>
      <charset val="178"/>
    </font>
    <font>
      <b/>
      <sz val="10"/>
      <name val="B Zar"/>
      <charset val="178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24"/>
      <name val="B Yekan"/>
      <charset val="178"/>
    </font>
    <font>
      <sz val="10"/>
      <name val="Arial"/>
      <charset val="178"/>
    </font>
    <font>
      <b/>
      <sz val="12"/>
      <color rgb="FF0070C0"/>
      <name val="B Zar"/>
      <charset val="178"/>
    </font>
    <font>
      <b/>
      <sz val="12"/>
      <color theme="9" tint="-0.249977111117893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0"/>
    <xf numFmtId="43" fontId="14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readingOrder="1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 textRotation="90"/>
    </xf>
    <xf numFmtId="3" fontId="5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5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readingOrder="1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5" fontId="15" fillId="0" borderId="1" xfId="2" applyNumberFormat="1" applyFont="1" applyBorder="1" applyAlignment="1">
      <alignment horizontal="center" vertical="center"/>
    </xf>
    <xf numFmtId="165" fontId="15" fillId="0" borderId="2" xfId="2" applyNumberFormat="1" applyFont="1" applyBorder="1" applyAlignment="1">
      <alignment horizontal="center" vertical="center"/>
    </xf>
    <xf numFmtId="165" fontId="15" fillId="0" borderId="10" xfId="2" applyNumberFormat="1" applyFont="1" applyBorder="1" applyAlignment="1">
      <alignment horizontal="center" vertical="center"/>
    </xf>
    <xf numFmtId="165" fontId="15" fillId="0" borderId="12" xfId="2" applyNumberFormat="1" applyFont="1" applyBorder="1" applyAlignment="1">
      <alignment horizontal="center" vertical="center"/>
    </xf>
    <xf numFmtId="165" fontId="15" fillId="0" borderId="0" xfId="2" applyNumberFormat="1" applyFont="1" applyBorder="1" applyAlignment="1">
      <alignment horizontal="center" vertical="center"/>
    </xf>
    <xf numFmtId="165" fontId="15" fillId="0" borderId="13" xfId="2" applyNumberFormat="1" applyFont="1" applyBorder="1" applyAlignment="1">
      <alignment horizontal="center" vertical="center"/>
    </xf>
    <xf numFmtId="165" fontId="15" fillId="0" borderId="3" xfId="2" applyNumberFormat="1" applyFont="1" applyBorder="1" applyAlignment="1">
      <alignment horizontal="center" vertical="center"/>
    </xf>
    <xf numFmtId="165" fontId="15" fillId="0" borderId="4" xfId="2" applyNumberFormat="1" applyFont="1" applyBorder="1" applyAlignment="1">
      <alignment horizontal="center" vertical="center"/>
    </xf>
    <xf numFmtId="165" fontId="15" fillId="0" borderId="9" xfId="2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3" fontId="16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607359</xdr:colOff>
      <xdr:row>20</xdr:row>
      <xdr:rowOff>39781</xdr:rowOff>
    </xdr:from>
    <xdr:to>
      <xdr:col>1</xdr:col>
      <xdr:colOff>779369</xdr:colOff>
      <xdr:row>20</xdr:row>
      <xdr:rowOff>211231</xdr:rowOff>
    </xdr:to>
    <xdr:sp macro="" textlink="">
      <xdr:nvSpPr>
        <xdr:cNvPr id="1088" name="Rectangle 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rrowheads="1"/>
        </xdr:cNvSpPr>
      </xdr:nvSpPr>
      <xdr:spPr bwMode="auto">
        <a:xfrm>
          <a:off x="145860807" y="5127252"/>
          <a:ext cx="17201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fa-IR"/>
        </a:p>
      </xdr:txBody>
    </xdr:sp>
    <xdr:clientData/>
  </xdr:twoCellAnchor>
  <xdr:twoCellAnchor>
    <xdr:from>
      <xdr:col>2</xdr:col>
      <xdr:colOff>279689</xdr:colOff>
      <xdr:row>20</xdr:row>
      <xdr:rowOff>55418</xdr:rowOff>
    </xdr:from>
    <xdr:to>
      <xdr:col>2</xdr:col>
      <xdr:colOff>496166</xdr:colOff>
      <xdr:row>20</xdr:row>
      <xdr:rowOff>226868</xdr:rowOff>
    </xdr:to>
    <xdr:sp macro="" textlink="">
      <xdr:nvSpPr>
        <xdr:cNvPr id="1137" name="Rectangle 8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rrowheads="1"/>
        </xdr:cNvSpPr>
      </xdr:nvSpPr>
      <xdr:spPr bwMode="auto">
        <a:xfrm>
          <a:off x="10698845414" y="5272521"/>
          <a:ext cx="216477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31"/>
  <sheetViews>
    <sheetView rightToLeft="1" tabSelected="1" topLeftCell="A16" zoomScale="110" zoomScaleNormal="110" zoomScaleSheetLayoutView="100" workbookViewId="0">
      <selection activeCell="Z24" sqref="Z24:AE24"/>
    </sheetView>
  </sheetViews>
  <sheetFormatPr defaultColWidth="9.1328125" defaultRowHeight="12.75"/>
  <cols>
    <col min="1" max="1" width="4.265625" style="3" customWidth="1"/>
    <col min="2" max="2" width="12.3984375" style="3" customWidth="1"/>
    <col min="3" max="3" width="9" style="3" customWidth="1"/>
    <col min="4" max="4" width="8.265625" style="3" customWidth="1"/>
    <col min="5" max="5" width="3.265625" style="11" customWidth="1"/>
    <col min="6" max="6" width="5.73046875" style="11" customWidth="1"/>
    <col min="7" max="7" width="4.86328125" style="11" customWidth="1"/>
    <col min="8" max="8" width="4.9296875" style="11" customWidth="1"/>
    <col min="9" max="9" width="7.3984375" style="11" customWidth="1"/>
    <col min="10" max="12" width="3" style="11" customWidth="1"/>
    <col min="13" max="13" width="5.59765625" style="11" customWidth="1"/>
    <col min="14" max="15" width="3" style="11" customWidth="1"/>
    <col min="16" max="16" width="0.9296875" style="11" customWidth="1"/>
    <col min="17" max="17" width="0.46484375" style="11" hidden="1" customWidth="1"/>
    <col min="18" max="19" width="3" style="3" customWidth="1"/>
    <col min="20" max="20" width="7.73046875" style="3" customWidth="1"/>
    <col min="21" max="22" width="3.73046875" style="3" customWidth="1"/>
    <col min="23" max="23" width="3.33203125" style="3" customWidth="1"/>
    <col min="24" max="29" width="3.73046875" style="3" customWidth="1"/>
    <col min="30" max="30" width="3.9296875" style="3" customWidth="1"/>
    <col min="31" max="31" width="1.06640625" style="3" customWidth="1"/>
    <col min="32" max="16384" width="9.1328125" style="2"/>
  </cols>
  <sheetData>
    <row r="1" spans="1:44" ht="24" customHeight="1">
      <c r="B1" s="39"/>
      <c r="E1" s="51" t="s">
        <v>34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63"/>
      <c r="S1" s="63"/>
      <c r="T1" s="63"/>
      <c r="Y1" s="62" t="s">
        <v>14</v>
      </c>
      <c r="Z1" s="62"/>
      <c r="AA1" s="62"/>
      <c r="AB1" s="61">
        <v>5041302</v>
      </c>
      <c r="AC1" s="61"/>
      <c r="AD1" s="61"/>
    </row>
    <row r="2" spans="1:44" ht="3.75" customHeight="1">
      <c r="B2" s="40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1"/>
      <c r="S2" s="1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44" ht="30" customHeight="1">
      <c r="B3" s="4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63"/>
      <c r="S3" s="63"/>
      <c r="T3" s="63"/>
      <c r="U3" s="12"/>
      <c r="Y3" s="62" t="s">
        <v>13</v>
      </c>
      <c r="Z3" s="62"/>
      <c r="AA3" s="62"/>
      <c r="AB3" s="61" t="s">
        <v>32</v>
      </c>
      <c r="AC3" s="61"/>
      <c r="AD3" s="61"/>
    </row>
    <row r="4" spans="1:44" s="5" customFormat="1" ht="24" customHeight="1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</row>
    <row r="5" spans="1:44" ht="20.25" customHeight="1">
      <c r="A5" s="30" t="s">
        <v>23</v>
      </c>
      <c r="B5" s="30"/>
      <c r="C5" s="30"/>
      <c r="D5" s="30"/>
      <c r="E5" s="30" t="s">
        <v>24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 t="s">
        <v>25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44" ht="5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</row>
    <row r="7" spans="1:44" ht="20.25" customHeight="1">
      <c r="A7" s="30" t="s">
        <v>16</v>
      </c>
      <c r="B7" s="30"/>
      <c r="C7" s="30" t="s">
        <v>17</v>
      </c>
      <c r="D7" s="30"/>
      <c r="E7" s="30" t="s">
        <v>27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 t="s">
        <v>26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44" ht="20.25" customHeight="1">
      <c r="A8" s="30" t="s">
        <v>28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 t="s">
        <v>20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G8" s="58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60"/>
    </row>
    <row r="9" spans="1:44" ht="18" customHeight="1">
      <c r="A9" s="53" t="s">
        <v>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</row>
    <row r="10" spans="1:44" ht="20.25" customHeight="1">
      <c r="A10" s="54" t="s">
        <v>42</v>
      </c>
      <c r="B10" s="55"/>
      <c r="C10" s="55"/>
      <c r="D10" s="56"/>
      <c r="E10" s="30" t="s">
        <v>15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 t="s">
        <v>33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spans="1:44" ht="6" customHeight="1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</row>
    <row r="12" spans="1:44" ht="20.25" customHeight="1">
      <c r="A12" s="30" t="s">
        <v>16</v>
      </c>
      <c r="B12" s="30"/>
      <c r="C12" s="30" t="s">
        <v>17</v>
      </c>
      <c r="D12" s="30"/>
      <c r="E12" s="30" t="s">
        <v>18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 t="s">
        <v>19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44" ht="20.25" customHeight="1">
      <c r="A13" s="30" t="s">
        <v>22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 t="s">
        <v>21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44" ht="19.5" customHeight="1">
      <c r="A14" s="34" t="s">
        <v>35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6"/>
    </row>
    <row r="15" spans="1:44" s="7" customFormat="1" ht="76.5" customHeight="1">
      <c r="A15" s="8" t="s">
        <v>2</v>
      </c>
      <c r="B15" s="31" t="s">
        <v>36</v>
      </c>
      <c r="C15" s="32"/>
      <c r="D15" s="33"/>
      <c r="E15" s="27" t="s">
        <v>11</v>
      </c>
      <c r="F15" s="29"/>
      <c r="G15" s="27" t="s">
        <v>3</v>
      </c>
      <c r="H15" s="29"/>
      <c r="I15" s="14" t="s">
        <v>40</v>
      </c>
      <c r="J15" s="27" t="s">
        <v>4</v>
      </c>
      <c r="K15" s="28"/>
      <c r="L15" s="28"/>
      <c r="M15" s="29"/>
      <c r="N15" s="28" t="s">
        <v>5</v>
      </c>
      <c r="O15" s="28"/>
      <c r="P15" s="28"/>
      <c r="Q15" s="29"/>
      <c r="R15" s="27" t="s">
        <v>6</v>
      </c>
      <c r="S15" s="28"/>
      <c r="T15" s="29"/>
      <c r="U15" s="27" t="s">
        <v>7</v>
      </c>
      <c r="V15" s="28"/>
      <c r="W15" s="29"/>
      <c r="X15" s="57" t="s">
        <v>8</v>
      </c>
      <c r="Y15" s="57"/>
      <c r="Z15" s="57"/>
      <c r="AA15" s="57"/>
      <c r="AB15" s="57"/>
      <c r="AC15" s="57"/>
      <c r="AD15" s="57"/>
      <c r="AE15" s="57"/>
    </row>
    <row r="16" spans="1:44" s="10" customFormat="1" ht="21.95" customHeight="1">
      <c r="A16" s="9">
        <v>1</v>
      </c>
      <c r="B16" s="42" t="s">
        <v>37</v>
      </c>
      <c r="C16" s="43"/>
      <c r="D16" s="44"/>
      <c r="E16" s="20"/>
      <c r="F16" s="22"/>
      <c r="G16" s="20"/>
      <c r="H16" s="21"/>
      <c r="I16" s="15">
        <v>0</v>
      </c>
      <c r="J16" s="20">
        <f>(2289276220+2242179501+2242179501+212230340+303900300+545900300+2289276220)/2</f>
        <v>5062471191</v>
      </c>
      <c r="K16" s="21"/>
      <c r="L16" s="21"/>
      <c r="M16" s="22"/>
      <c r="N16" s="20">
        <v>0</v>
      </c>
      <c r="O16" s="21"/>
      <c r="P16" s="21"/>
      <c r="Q16" s="22"/>
      <c r="R16" s="20">
        <f>J16-N16</f>
        <v>5062471191</v>
      </c>
      <c r="S16" s="21"/>
      <c r="T16" s="21"/>
      <c r="U16" s="20">
        <v>0</v>
      </c>
      <c r="V16" s="21"/>
      <c r="W16" s="21"/>
      <c r="X16" s="38">
        <f>U16+R16</f>
        <v>5062471191</v>
      </c>
      <c r="Y16" s="38"/>
      <c r="Z16" s="38"/>
      <c r="AA16" s="38"/>
      <c r="AB16" s="38"/>
      <c r="AC16" s="38"/>
      <c r="AD16" s="38"/>
      <c r="AE16" s="38"/>
    </row>
    <row r="17" spans="1:31" s="10" customFormat="1" ht="21.95" customHeight="1">
      <c r="A17" s="9">
        <v>2</v>
      </c>
      <c r="B17" s="37" t="s">
        <v>38</v>
      </c>
      <c r="C17" s="37"/>
      <c r="D17" s="37"/>
      <c r="E17" s="38"/>
      <c r="F17" s="38"/>
      <c r="G17" s="20"/>
      <c r="H17" s="22"/>
      <c r="I17" s="13">
        <v>0</v>
      </c>
      <c r="J17" s="20">
        <f>(71393400+2578358952*3)/2</f>
        <v>3903235128</v>
      </c>
      <c r="K17" s="21"/>
      <c r="L17" s="21"/>
      <c r="M17" s="22"/>
      <c r="N17" s="20">
        <v>0</v>
      </c>
      <c r="O17" s="21"/>
      <c r="P17" s="21"/>
      <c r="Q17" s="22"/>
      <c r="R17" s="20">
        <f>J17-N17</f>
        <v>3903235128</v>
      </c>
      <c r="S17" s="21"/>
      <c r="T17" s="22"/>
      <c r="U17" s="20">
        <v>0</v>
      </c>
      <c r="V17" s="21"/>
      <c r="W17" s="22"/>
      <c r="X17" s="20">
        <f>R17-U17</f>
        <v>3903235128</v>
      </c>
      <c r="Y17" s="21"/>
      <c r="Z17" s="21"/>
      <c r="AA17" s="21"/>
      <c r="AB17" s="21"/>
      <c r="AC17" s="21"/>
      <c r="AD17" s="21"/>
      <c r="AE17" s="22"/>
    </row>
    <row r="18" spans="1:31" s="10" customFormat="1" ht="21.95" customHeight="1">
      <c r="A18" s="9">
        <v>3</v>
      </c>
      <c r="B18" s="42" t="s">
        <v>43</v>
      </c>
      <c r="C18" s="43"/>
      <c r="D18" s="44"/>
      <c r="E18" s="20"/>
      <c r="F18" s="22"/>
      <c r="G18" s="20"/>
      <c r="H18" s="22"/>
      <c r="I18" s="13">
        <v>0</v>
      </c>
      <c r="J18" s="20">
        <f>13337500000/2</f>
        <v>6668750000</v>
      </c>
      <c r="K18" s="21"/>
      <c r="L18" s="21"/>
      <c r="M18" s="22"/>
      <c r="N18" s="20"/>
      <c r="O18" s="21"/>
      <c r="P18" s="21"/>
      <c r="Q18" s="17"/>
      <c r="R18" s="20">
        <f>J18</f>
        <v>6668750000</v>
      </c>
      <c r="S18" s="21"/>
      <c r="T18" s="22"/>
      <c r="U18" s="20"/>
      <c r="V18" s="21"/>
      <c r="W18" s="22"/>
      <c r="X18" s="20">
        <f>J18</f>
        <v>6668750000</v>
      </c>
      <c r="Y18" s="21"/>
      <c r="Z18" s="21"/>
      <c r="AA18" s="21"/>
      <c r="AB18" s="21"/>
      <c r="AC18" s="21"/>
      <c r="AD18" s="21"/>
      <c r="AE18" s="22"/>
    </row>
    <row r="19" spans="1:31" s="10" customFormat="1" ht="21.95" customHeight="1">
      <c r="A19" s="9">
        <v>4</v>
      </c>
      <c r="B19" s="42" t="s">
        <v>39</v>
      </c>
      <c r="C19" s="43"/>
      <c r="D19" s="44"/>
      <c r="E19" s="20">
        <v>97</v>
      </c>
      <c r="F19" s="22"/>
      <c r="G19" s="20">
        <f>1758000*I19</f>
        <v>175800000</v>
      </c>
      <c r="H19" s="22"/>
      <c r="I19" s="13">
        <v>100</v>
      </c>
      <c r="J19" s="20">
        <f>G19*E19</f>
        <v>17052600000</v>
      </c>
      <c r="K19" s="21"/>
      <c r="L19" s="21"/>
      <c r="M19" s="22"/>
      <c r="N19" s="20"/>
      <c r="O19" s="21"/>
      <c r="P19" s="21"/>
      <c r="Q19" s="22"/>
      <c r="R19" s="20">
        <f>J19-N19</f>
        <v>17052600000</v>
      </c>
      <c r="S19" s="21"/>
      <c r="T19" s="22"/>
      <c r="U19" s="20"/>
      <c r="V19" s="21"/>
      <c r="W19" s="22"/>
      <c r="X19" s="20">
        <f>R19-U19</f>
        <v>17052600000</v>
      </c>
      <c r="Y19" s="21"/>
      <c r="Z19" s="21"/>
      <c r="AA19" s="21"/>
      <c r="AB19" s="21"/>
      <c r="AC19" s="21"/>
      <c r="AD19" s="21"/>
      <c r="AE19" s="22"/>
    </row>
    <row r="20" spans="1:31" ht="18" customHeight="1">
      <c r="A20" s="27" t="s">
        <v>12</v>
      </c>
      <c r="B20" s="28"/>
      <c r="C20" s="28"/>
      <c r="D20" s="28"/>
      <c r="E20" s="49"/>
      <c r="F20" s="49"/>
      <c r="G20" s="49"/>
      <c r="H20" s="50"/>
      <c r="I20" s="16"/>
      <c r="J20" s="90">
        <f>SUM(J16:M19)</f>
        <v>32687056319</v>
      </c>
      <c r="K20" s="91"/>
      <c r="L20" s="91"/>
      <c r="M20" s="92"/>
      <c r="N20" s="24"/>
      <c r="O20" s="25"/>
      <c r="P20" s="25"/>
      <c r="Q20" s="26"/>
      <c r="R20" s="90">
        <f>SUM(R16:T19)</f>
        <v>32687056319</v>
      </c>
      <c r="S20" s="91"/>
      <c r="T20" s="91"/>
      <c r="U20" s="90">
        <f>SUM(U16:W16)</f>
        <v>0</v>
      </c>
      <c r="V20" s="91"/>
      <c r="W20" s="91"/>
      <c r="X20" s="23">
        <f>SUM(X16:AE19)</f>
        <v>32687056319</v>
      </c>
      <c r="Y20" s="23"/>
      <c r="Z20" s="23"/>
      <c r="AA20" s="23"/>
      <c r="AB20" s="23"/>
      <c r="AC20" s="23"/>
      <c r="AD20" s="23"/>
      <c r="AE20" s="23"/>
    </row>
    <row r="21" spans="1:31" ht="18" customHeight="1">
      <c r="A21" s="47" t="s">
        <v>41</v>
      </c>
      <c r="B21" s="48"/>
      <c r="C21" s="48"/>
      <c r="D21" s="48"/>
      <c r="E21" s="18" t="s">
        <v>29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66" t="s">
        <v>45</v>
      </c>
      <c r="V21" s="67"/>
      <c r="W21" s="67"/>
      <c r="X21" s="67"/>
      <c r="Y21" s="68"/>
      <c r="Z21" s="75">
        <f>-(11388396796+2483589745+57558518+9136675754-20000000000-6900000000)</f>
        <v>3833779187</v>
      </c>
      <c r="AA21" s="76"/>
      <c r="AB21" s="76"/>
      <c r="AC21" s="76"/>
      <c r="AD21" s="76"/>
      <c r="AE21" s="77"/>
    </row>
    <row r="22" spans="1:31" ht="18" customHeight="1">
      <c r="A22" s="88"/>
      <c r="B22" s="89"/>
      <c r="C22" s="89"/>
      <c r="D22" s="89"/>
      <c r="E22" s="93" t="s">
        <v>30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9"/>
      <c r="V22" s="70"/>
      <c r="W22" s="70"/>
      <c r="X22" s="70"/>
      <c r="Y22" s="71"/>
      <c r="Z22" s="78"/>
      <c r="AA22" s="79"/>
      <c r="AB22" s="79"/>
      <c r="AC22" s="79"/>
      <c r="AD22" s="79"/>
      <c r="AE22" s="80"/>
    </row>
    <row r="23" spans="1:31" ht="18" customHeight="1">
      <c r="A23" s="64"/>
      <c r="B23" s="65"/>
      <c r="C23" s="65"/>
      <c r="D23" s="65"/>
      <c r="E23" s="64" t="s">
        <v>31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72"/>
      <c r="V23" s="73"/>
      <c r="W23" s="73"/>
      <c r="X23" s="73"/>
      <c r="Y23" s="74"/>
      <c r="Z23" s="81"/>
      <c r="AA23" s="82"/>
      <c r="AB23" s="82"/>
      <c r="AC23" s="82"/>
      <c r="AD23" s="82"/>
      <c r="AE23" s="83"/>
    </row>
    <row r="24" spans="1:31" ht="48" customHeight="1">
      <c r="A24" s="45" t="s">
        <v>10</v>
      </c>
      <c r="B24" s="46"/>
      <c r="C24" s="46"/>
      <c r="D24" s="46"/>
      <c r="E24" s="42" t="s">
        <v>9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86" t="s">
        <v>44</v>
      </c>
      <c r="V24" s="86"/>
      <c r="W24" s="86"/>
      <c r="X24" s="86"/>
      <c r="Y24" s="86"/>
      <c r="Z24" s="87">
        <f>X20-Z21</f>
        <v>28853277132</v>
      </c>
      <c r="AA24" s="87"/>
      <c r="AB24" s="87"/>
      <c r="AC24" s="87"/>
      <c r="AD24" s="87"/>
      <c r="AE24" s="87"/>
    </row>
    <row r="31" spans="1:31">
      <c r="X31" s="6"/>
    </row>
  </sheetData>
  <mergeCells count="88">
    <mergeCell ref="E24:T24"/>
    <mergeCell ref="U24:Y24"/>
    <mergeCell ref="Z24:AE24"/>
    <mergeCell ref="B18:D18"/>
    <mergeCell ref="E18:F18"/>
    <mergeCell ref="G18:H18"/>
    <mergeCell ref="J18:M18"/>
    <mergeCell ref="N18:P18"/>
    <mergeCell ref="R18:T18"/>
    <mergeCell ref="U18:W18"/>
    <mergeCell ref="X18:AE18"/>
    <mergeCell ref="A22:D23"/>
    <mergeCell ref="U20:W20"/>
    <mergeCell ref="R20:T20"/>
    <mergeCell ref="J20:M20"/>
    <mergeCell ref="E22:T22"/>
    <mergeCell ref="E23:T23"/>
    <mergeCell ref="U21:Y23"/>
    <mergeCell ref="Z21:AE23"/>
    <mergeCell ref="E5:Q5"/>
    <mergeCell ref="R5:AE5"/>
    <mergeCell ref="E7:Q7"/>
    <mergeCell ref="E16:F16"/>
    <mergeCell ref="G16:H16"/>
    <mergeCell ref="U15:W15"/>
    <mergeCell ref="E10:Q10"/>
    <mergeCell ref="R10:AE10"/>
    <mergeCell ref="E12:Q12"/>
    <mergeCell ref="N15:Q15"/>
    <mergeCell ref="J15:M15"/>
    <mergeCell ref="A11:AE11"/>
    <mergeCell ref="R16:T16"/>
    <mergeCell ref="X15:AE15"/>
    <mergeCell ref="U16:W16"/>
    <mergeCell ref="X16:AE16"/>
    <mergeCell ref="AG8:AR8"/>
    <mergeCell ref="AB1:AD1"/>
    <mergeCell ref="AB3:AD3"/>
    <mergeCell ref="Y1:AA1"/>
    <mergeCell ref="Y3:AA3"/>
    <mergeCell ref="R7:AE7"/>
    <mergeCell ref="R1:T1"/>
    <mergeCell ref="R3:T3"/>
    <mergeCell ref="B1:B3"/>
    <mergeCell ref="B16:D16"/>
    <mergeCell ref="A24:D24"/>
    <mergeCell ref="A21:D21"/>
    <mergeCell ref="A20:H20"/>
    <mergeCell ref="A8:Q8"/>
    <mergeCell ref="A5:D5"/>
    <mergeCell ref="E1:Q3"/>
    <mergeCell ref="A6:AE6"/>
    <mergeCell ref="R8:AE8"/>
    <mergeCell ref="A4:AE4"/>
    <mergeCell ref="A7:B7"/>
    <mergeCell ref="C7:D7"/>
    <mergeCell ref="A9:AE9"/>
    <mergeCell ref="A10:D10"/>
    <mergeCell ref="B19:D19"/>
    <mergeCell ref="X20:AE20"/>
    <mergeCell ref="N20:Q20"/>
    <mergeCell ref="N16:Q16"/>
    <mergeCell ref="R15:T15"/>
    <mergeCell ref="A12:B12"/>
    <mergeCell ref="C12:D12"/>
    <mergeCell ref="A13:Q13"/>
    <mergeCell ref="R12:AE12"/>
    <mergeCell ref="J16:M16"/>
    <mergeCell ref="B15:D15"/>
    <mergeCell ref="G15:H15"/>
    <mergeCell ref="A14:AE14"/>
    <mergeCell ref="E15:F15"/>
    <mergeCell ref="R13:AE13"/>
    <mergeCell ref="B17:D17"/>
    <mergeCell ref="E17:F17"/>
    <mergeCell ref="E19:F19"/>
    <mergeCell ref="G17:H17"/>
    <mergeCell ref="G19:H19"/>
    <mergeCell ref="U17:W17"/>
    <mergeCell ref="U19:W19"/>
    <mergeCell ref="X17:AE17"/>
    <mergeCell ref="X19:AE19"/>
    <mergeCell ref="J17:M17"/>
    <mergeCell ref="J19:M19"/>
    <mergeCell ref="N17:Q17"/>
    <mergeCell ref="N19:Q19"/>
    <mergeCell ref="R17:T17"/>
    <mergeCell ref="R19:T19"/>
  </mergeCells>
  <phoneticPr fontId="0" type="noConversion"/>
  <printOptions horizontalCentered="1" verticalCentered="1"/>
  <pageMargins left="0.15748031496062992" right="0.15748031496062992" top="0.15748031496062992" bottom="0.16" header="0.15748031496062992" footer="0.16"/>
  <pageSetup paperSize="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********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sayal4</dc:creator>
  <cp:lastModifiedBy>Sara Balouchzehi</cp:lastModifiedBy>
  <cp:lastPrinted>2026-07-08T16:42:09Z</cp:lastPrinted>
  <dcterms:created xsi:type="dcterms:W3CDTF">2009-04-12T08:21:16Z</dcterms:created>
  <dcterms:modified xsi:type="dcterms:W3CDTF">2026-07-12T16:41:12Z</dcterms:modified>
</cp:coreProperties>
</file>